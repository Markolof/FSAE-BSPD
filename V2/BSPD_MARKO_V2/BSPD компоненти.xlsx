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o\Desktop\MES RACING\V1\"/>
    </mc:Choice>
  </mc:AlternateContent>
  <xr:revisionPtr revIDLastSave="0" documentId="8_{EF643D4A-910C-4183-8503-5026501C9DB7}" xr6:coauthVersionLast="47" xr6:coauthVersionMax="47" xr10:uidLastSave="{00000000-0000-0000-0000-000000000000}"/>
  <bookViews>
    <workbookView xWindow="-98" yWindow="-98" windowWidth="21795" windowHeight="11625" xr2:uid="{42F6BC6F-1239-45FD-80DF-F15467D70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6" i="1" l="1"/>
</calcChain>
</file>

<file path=xl/sharedStrings.xml><?xml version="1.0" encoding="utf-8"?>
<sst xmlns="http://schemas.openxmlformats.org/spreadsheetml/2006/main" count="98" uniqueCount="85">
  <si>
    <t>v  C1, C2, C11, C14, C18</t>
  </si>
  <si>
    <t>10n</t>
  </si>
  <si>
    <t xml:space="preserve">        C1</t>
  </si>
  <si>
    <t xml:space="preserve">        C2</t>
  </si>
  <si>
    <t xml:space="preserve">        C11</t>
  </si>
  <si>
    <t xml:space="preserve">        C14</t>
  </si>
  <si>
    <t xml:space="preserve">        C18</t>
  </si>
  <si>
    <t xml:space="preserve">    C3</t>
  </si>
  <si>
    <t xml:space="preserve">    C4</t>
  </si>
  <si>
    <t>&gt;  C5, C6, C9, C13, C15, C16</t>
  </si>
  <si>
    <t>100n</t>
  </si>
  <si>
    <t>&gt;  C7, C8</t>
  </si>
  <si>
    <t>15p</t>
  </si>
  <si>
    <t xml:space="preserve">    C10</t>
  </si>
  <si>
    <t>15u</t>
  </si>
  <si>
    <t>&gt;  C12, C17</t>
  </si>
  <si>
    <t>10u</t>
  </si>
  <si>
    <t xml:space="preserve">    D1</t>
  </si>
  <si>
    <t>B120-E3</t>
  </si>
  <si>
    <t xml:space="preserve">    D2</t>
  </si>
  <si>
    <t>1N4148</t>
  </si>
  <si>
    <t>&gt;  D3-D5</t>
  </si>
  <si>
    <t>1N5822</t>
  </si>
  <si>
    <t xml:space="preserve">    D7</t>
  </si>
  <si>
    <t>1N4007</t>
  </si>
  <si>
    <t xml:space="preserve">    D8</t>
  </si>
  <si>
    <t>CDBA340-HF</t>
  </si>
  <si>
    <t>&gt;  H1-H4</t>
  </si>
  <si>
    <t>MountingHole</t>
  </si>
  <si>
    <t>&gt;  H5-H8</t>
  </si>
  <si>
    <t xml:space="preserve">    J1</t>
  </si>
  <si>
    <t>ED555_8DS</t>
  </si>
  <si>
    <t>&gt;  J2-J4</t>
  </si>
  <si>
    <t>Conn_01x01_Pin</t>
  </si>
  <si>
    <t xml:space="preserve">    J5</t>
  </si>
  <si>
    <t xml:space="preserve">    K1</t>
  </si>
  <si>
    <t>SANYOU_SRD_Form_C</t>
  </si>
  <si>
    <t xml:space="preserve">    Q1</t>
  </si>
  <si>
    <t>PMOS</t>
  </si>
  <si>
    <t>&gt;  R1, R2, R19, R27, R34, R39</t>
  </si>
  <si>
    <t>1k</t>
  </si>
  <si>
    <t>&gt;  R3, R4, R7, R9, R11, R16, R17, R21, R22, R24, R26, R29, R30</t>
  </si>
  <si>
    <t>100k</t>
  </si>
  <si>
    <t>&gt;  R5, R6, R23, R31</t>
  </si>
  <si>
    <t>51k</t>
  </si>
  <si>
    <t>&gt;  R8, R10, R12-R15, R18, R25, R28, R32, R33, R35-R37</t>
  </si>
  <si>
    <t>10k</t>
  </si>
  <si>
    <t xml:space="preserve">    R20</t>
  </si>
  <si>
    <t>910k</t>
  </si>
  <si>
    <t>&gt;  RV1-RV5</t>
  </si>
  <si>
    <t>&gt;  TP1, TP4</t>
  </si>
  <si>
    <t>TestPoint</t>
  </si>
  <si>
    <t xml:space="preserve">    U1</t>
  </si>
  <si>
    <t>uA7805</t>
  </si>
  <si>
    <t>&gt;  U2-U4, U6</t>
  </si>
  <si>
    <t>LM293_COMP</t>
  </si>
  <si>
    <t xml:space="preserve">    U5</t>
  </si>
  <si>
    <t>SN74HC27NE4</t>
  </si>
  <si>
    <t xml:space="preserve">    U7</t>
  </si>
  <si>
    <t>NE555N</t>
  </si>
  <si>
    <t>https://www.loging.mk/1478/197583/0/ShowProduct/Kondenzator</t>
  </si>
  <si>
    <t xml:space="preserve"> </t>
  </si>
  <si>
    <t>330n</t>
  </si>
  <si>
    <t>https://www.loging.mk/1478/169780/0/ShowProduct/Kondenzator_</t>
  </si>
  <si>
    <t>https://www.loging.mk/1478/197581/0/ShowProduct/Kondenzator</t>
  </si>
  <si>
    <t>https://www.loging.mk/1479/199631/0/ShowProduct/Keramichki_Kondenzator</t>
  </si>
  <si>
    <t>https://www.loging.mk/1207/172544/0/ShowProduct/Tantal_Kondenzator_</t>
  </si>
  <si>
    <t>https://www.loging.mk/1476/167584/0/ShowProduct/Elektrolitski_Kondenzator_</t>
  </si>
  <si>
    <t>https://www.loging.mk/1354/162242/0/ShowProduct/Dioda</t>
  </si>
  <si>
    <t>https://www.loging.mk/1548/166237/0/ShowProduct/Shotki_Dioda</t>
  </si>
  <si>
    <t>https://www.loging.mk/1354/162240/0/ShowProduct/Dioda</t>
  </si>
  <si>
    <t>https://www.loging.mk/1391/176659/0/ShowProduct/P-Kanalen__MOSFET</t>
  </si>
  <si>
    <t>https://www.loging.mk/1486/187132/0/ShowProduct/Otpornik_2W</t>
  </si>
  <si>
    <t>https://www.loging.mk/1482/194923/0/ShowProduct/Otpornik_1_2W</t>
  </si>
  <si>
    <t>https://www.loging.mk/1483/186442/0/ShowProduct/Otpornik_1_4W</t>
  </si>
  <si>
    <t>https://www.loging.mk/1484/185622/0/ShowProduct/Otpornik_1_4W</t>
  </si>
  <si>
    <t>https://www.loging.mk/1484/186593/0/ShowProduct/Otpornik_1_4W</t>
  </si>
  <si>
    <t>https://www.loging.mk/1484/186875/0/ShowProduct/Otpornik_1_4W</t>
  </si>
  <si>
    <t>https://www.loging.mk/1590/164528/0/ShowProduct/Regulator_na_Napon_</t>
  </si>
  <si>
    <t>https://www.loging.mk/1567/163760/0/ShowProduct/RC_Tajmer_</t>
  </si>
  <si>
    <t>https://www.loging.mk/1582/163629/0/ShowProduct/Operaciski_Zasiluvach_</t>
  </si>
  <si>
    <t>https://www.loging.mk/1594/168179/0/ShowProduct/NILI_Porta</t>
  </si>
  <si>
    <t>ВКУПНО</t>
  </si>
  <si>
    <t>https://www.loging.mk/1429/173069/0/ShowProduct/Rele</t>
  </si>
  <si>
    <t>Сликај од старо BSPD терминали за заштрафување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</si>
</sst>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61D07-8297-4182-B461-B8243C834B9F}">
  <dimension ref="A1:K36"/>
  <sheetViews>
    <sheetView tabSelected="1" workbookViewId="0">
      <selection activeCell="K37" sqref="K37"/>
    </sheetView>
  </sheetViews>
  <sheetFormatPr defaultRowHeight="14.25" x14ac:dyDescent="0.45"/>
  <sheetData>
    <row r="1" spans="1:11" x14ac:dyDescent="0.45">
      <c r="A1" t="s">
        <v>0</v>
      </c>
      <c r="B1">
        <v>5</v>
      </c>
      <c r="C1" t="s">
        <v>1</v>
      </c>
      <c r="D1" t="s">
        <v>60</v>
      </c>
      <c r="J1" t="s">
        <v>61</v>
      </c>
      <c r="K1">
        <v>110</v>
      </c>
    </row>
    <row r="2" spans="1:11" x14ac:dyDescent="0.45">
      <c r="A2" t="s">
        <v>2</v>
      </c>
      <c r="B2">
        <v>1</v>
      </c>
      <c r="C2" t="s">
        <v>1</v>
      </c>
    </row>
    <row r="3" spans="1:11" x14ac:dyDescent="0.45">
      <c r="A3" t="s">
        <v>3</v>
      </c>
      <c r="B3">
        <v>1</v>
      </c>
      <c r="C3" t="s">
        <v>1</v>
      </c>
    </row>
    <row r="4" spans="1:11" x14ac:dyDescent="0.45">
      <c r="A4" t="s">
        <v>4</v>
      </c>
      <c r="B4">
        <v>1</v>
      </c>
      <c r="C4" t="s">
        <v>1</v>
      </c>
    </row>
    <row r="5" spans="1:11" x14ac:dyDescent="0.45">
      <c r="A5" t="s">
        <v>5</v>
      </c>
      <c r="B5">
        <v>1</v>
      </c>
      <c r="C5" t="s">
        <v>1</v>
      </c>
    </row>
    <row r="6" spans="1:11" x14ac:dyDescent="0.45">
      <c r="A6" t="s">
        <v>6</v>
      </c>
      <c r="B6">
        <v>1</v>
      </c>
      <c r="C6" t="s">
        <v>1</v>
      </c>
    </row>
    <row r="7" spans="1:11" x14ac:dyDescent="0.45">
      <c r="A7" t="s">
        <v>7</v>
      </c>
      <c r="B7">
        <v>1</v>
      </c>
      <c r="C7" t="s">
        <v>62</v>
      </c>
      <c r="D7" t="s">
        <v>63</v>
      </c>
      <c r="K7">
        <v>13</v>
      </c>
    </row>
    <row r="8" spans="1:11" x14ac:dyDescent="0.45">
      <c r="A8" t="s">
        <v>8</v>
      </c>
      <c r="B8">
        <v>1</v>
      </c>
      <c r="C8" t="s">
        <v>10</v>
      </c>
      <c r="D8" t="s">
        <v>64</v>
      </c>
      <c r="K8">
        <v>140</v>
      </c>
    </row>
    <row r="9" spans="1:11" x14ac:dyDescent="0.45">
      <c r="A9" t="s">
        <v>9</v>
      </c>
      <c r="B9">
        <v>6</v>
      </c>
      <c r="C9" t="s">
        <v>10</v>
      </c>
    </row>
    <row r="10" spans="1:11" x14ac:dyDescent="0.45">
      <c r="A10" t="s">
        <v>11</v>
      </c>
      <c r="B10">
        <v>2</v>
      </c>
      <c r="C10" t="s">
        <v>12</v>
      </c>
      <c r="D10" t="s">
        <v>65</v>
      </c>
      <c r="K10">
        <v>10</v>
      </c>
    </row>
    <row r="11" spans="1:11" x14ac:dyDescent="0.45">
      <c r="A11" t="s">
        <v>13</v>
      </c>
      <c r="B11">
        <v>1</v>
      </c>
      <c r="C11" t="s">
        <v>14</v>
      </c>
      <c r="D11" t="s">
        <v>66</v>
      </c>
      <c r="K11">
        <v>47</v>
      </c>
    </row>
    <row r="12" spans="1:11" x14ac:dyDescent="0.45">
      <c r="A12" t="s">
        <v>15</v>
      </c>
      <c r="B12">
        <v>2</v>
      </c>
      <c r="C12" t="s">
        <v>16</v>
      </c>
      <c r="D12" t="s">
        <v>67</v>
      </c>
      <c r="K12">
        <v>28</v>
      </c>
    </row>
    <row r="13" spans="1:11" x14ac:dyDescent="0.45">
      <c r="A13" t="s">
        <v>17</v>
      </c>
      <c r="B13">
        <v>1</v>
      </c>
      <c r="C13" t="s">
        <v>18</v>
      </c>
      <c r="D13" t="s">
        <v>70</v>
      </c>
      <c r="K13">
        <v>3</v>
      </c>
    </row>
    <row r="14" spans="1:11" x14ac:dyDescent="0.45">
      <c r="A14" t="s">
        <v>19</v>
      </c>
      <c r="B14">
        <v>1</v>
      </c>
      <c r="C14" t="s">
        <v>20</v>
      </c>
      <c r="D14" t="s">
        <v>68</v>
      </c>
      <c r="K14">
        <v>2</v>
      </c>
    </row>
    <row r="15" spans="1:11" x14ac:dyDescent="0.45">
      <c r="A15" t="s">
        <v>21</v>
      </c>
      <c r="B15">
        <v>3</v>
      </c>
      <c r="C15" t="s">
        <v>22</v>
      </c>
      <c r="D15" t="s">
        <v>69</v>
      </c>
      <c r="K15">
        <v>18</v>
      </c>
    </row>
    <row r="16" spans="1:11" x14ac:dyDescent="0.45">
      <c r="A16" t="s">
        <v>23</v>
      </c>
      <c r="B16">
        <v>1</v>
      </c>
      <c r="C16" t="s">
        <v>24</v>
      </c>
      <c r="D16" t="s">
        <v>70</v>
      </c>
      <c r="K16">
        <v>3</v>
      </c>
    </row>
    <row r="17" spans="1:11" x14ac:dyDescent="0.45">
      <c r="A17" t="s">
        <v>25</v>
      </c>
      <c r="B17">
        <v>1</v>
      </c>
      <c r="C17" t="s">
        <v>26</v>
      </c>
      <c r="D17" t="s">
        <v>69</v>
      </c>
      <c r="K17">
        <v>18</v>
      </c>
    </row>
    <row r="18" spans="1:11" x14ac:dyDescent="0.45">
      <c r="A18" t="s">
        <v>27</v>
      </c>
      <c r="B18">
        <v>4</v>
      </c>
      <c r="C18" t="s">
        <v>28</v>
      </c>
    </row>
    <row r="19" spans="1:11" x14ac:dyDescent="0.45">
      <c r="A19" t="s">
        <v>29</v>
      </c>
      <c r="B19">
        <v>4</v>
      </c>
      <c r="C19" t="s">
        <v>28</v>
      </c>
    </row>
    <row r="20" spans="1:11" x14ac:dyDescent="0.45">
      <c r="A20" t="s">
        <v>30</v>
      </c>
      <c r="B20">
        <v>1</v>
      </c>
      <c r="C20" t="s">
        <v>31</v>
      </c>
      <c r="E20" t="s">
        <v>84</v>
      </c>
    </row>
    <row r="21" spans="1:11" x14ac:dyDescent="0.45">
      <c r="A21" t="s">
        <v>32</v>
      </c>
      <c r="B21">
        <v>3</v>
      </c>
      <c r="C21" t="s">
        <v>33</v>
      </c>
      <c r="E21" t="s">
        <v>84</v>
      </c>
    </row>
    <row r="22" spans="1:11" x14ac:dyDescent="0.45">
      <c r="A22" t="s">
        <v>34</v>
      </c>
      <c r="B22">
        <v>1</v>
      </c>
      <c r="C22" t="s">
        <v>33</v>
      </c>
      <c r="E22" t="s">
        <v>84</v>
      </c>
    </row>
    <row r="23" spans="1:11" x14ac:dyDescent="0.45">
      <c r="A23" t="s">
        <v>35</v>
      </c>
      <c r="B23">
        <v>1</v>
      </c>
      <c r="C23" t="s">
        <v>36</v>
      </c>
      <c r="E23" t="s">
        <v>83</v>
      </c>
      <c r="K23">
        <v>145</v>
      </c>
    </row>
    <row r="24" spans="1:11" x14ac:dyDescent="0.45">
      <c r="A24" t="s">
        <v>37</v>
      </c>
      <c r="B24">
        <v>1</v>
      </c>
      <c r="C24" t="s">
        <v>38</v>
      </c>
      <c r="D24" t="s">
        <v>71</v>
      </c>
      <c r="K24">
        <v>215</v>
      </c>
    </row>
    <row r="25" spans="1:11" x14ac:dyDescent="0.45">
      <c r="A25" t="s">
        <v>39</v>
      </c>
      <c r="B25">
        <v>6</v>
      </c>
      <c r="C25" t="s">
        <v>40</v>
      </c>
      <c r="D25" t="s">
        <v>72</v>
      </c>
      <c r="K25">
        <v>30</v>
      </c>
    </row>
    <row r="26" spans="1:11" x14ac:dyDescent="0.45">
      <c r="A26" t="s">
        <v>41</v>
      </c>
      <c r="B26">
        <v>13</v>
      </c>
      <c r="C26" t="s">
        <v>42</v>
      </c>
      <c r="D26" t="s">
        <v>73</v>
      </c>
      <c r="K26">
        <v>39</v>
      </c>
    </row>
    <row r="27" spans="1:11" x14ac:dyDescent="0.45">
      <c r="A27" t="s">
        <v>43</v>
      </c>
      <c r="B27">
        <v>4</v>
      </c>
      <c r="C27" t="s">
        <v>44</v>
      </c>
      <c r="D27" t="s">
        <v>74</v>
      </c>
      <c r="K27">
        <v>4</v>
      </c>
    </row>
    <row r="28" spans="1:11" x14ac:dyDescent="0.45">
      <c r="A28" t="s">
        <v>45</v>
      </c>
      <c r="B28">
        <v>14</v>
      </c>
      <c r="C28" t="s">
        <v>46</v>
      </c>
      <c r="D28" t="s">
        <v>75</v>
      </c>
      <c r="K28">
        <v>28</v>
      </c>
    </row>
    <row r="29" spans="1:11" x14ac:dyDescent="0.45">
      <c r="A29" t="s">
        <v>47</v>
      </c>
      <c r="B29">
        <v>1</v>
      </c>
      <c r="C29" t="s">
        <v>48</v>
      </c>
      <c r="D29" t="s">
        <v>76</v>
      </c>
      <c r="K29">
        <v>2</v>
      </c>
    </row>
    <row r="30" spans="1:11" x14ac:dyDescent="0.45">
      <c r="A30" t="s">
        <v>49</v>
      </c>
      <c r="B30">
        <v>5</v>
      </c>
      <c r="C30" t="s">
        <v>42</v>
      </c>
      <c r="D30" t="s">
        <v>77</v>
      </c>
      <c r="K30">
        <v>10</v>
      </c>
    </row>
    <row r="31" spans="1:11" x14ac:dyDescent="0.45">
      <c r="A31" t="s">
        <v>50</v>
      </c>
      <c r="B31">
        <v>2</v>
      </c>
      <c r="C31" t="s">
        <v>51</v>
      </c>
    </row>
    <row r="32" spans="1:11" x14ac:dyDescent="0.45">
      <c r="A32" t="s">
        <v>52</v>
      </c>
      <c r="B32">
        <v>1</v>
      </c>
      <c r="C32" t="s">
        <v>53</v>
      </c>
      <c r="D32" t="s">
        <v>78</v>
      </c>
      <c r="K32">
        <v>25</v>
      </c>
    </row>
    <row r="33" spans="1:11" x14ac:dyDescent="0.45">
      <c r="A33" t="s">
        <v>54</v>
      </c>
      <c r="B33">
        <v>4</v>
      </c>
      <c r="C33" t="s">
        <v>55</v>
      </c>
      <c r="D33" t="s">
        <v>80</v>
      </c>
      <c r="K33">
        <v>80</v>
      </c>
    </row>
    <row r="34" spans="1:11" x14ac:dyDescent="0.45">
      <c r="A34" t="s">
        <v>56</v>
      </c>
      <c r="B34">
        <v>1</v>
      </c>
      <c r="C34" t="s">
        <v>57</v>
      </c>
      <c r="D34" t="s">
        <v>81</v>
      </c>
      <c r="K34">
        <v>42</v>
      </c>
    </row>
    <row r="35" spans="1:11" x14ac:dyDescent="0.45">
      <c r="A35" t="s">
        <v>58</v>
      </c>
      <c r="B35">
        <v>1</v>
      </c>
      <c r="C35" t="s">
        <v>59</v>
      </c>
      <c r="D35" t="s">
        <v>79</v>
      </c>
      <c r="K35">
        <v>25</v>
      </c>
    </row>
    <row r="36" spans="1:11" x14ac:dyDescent="0.45">
      <c r="A36" t="s">
        <v>82</v>
      </c>
      <c r="K36">
        <f>SUM(K1,K7,K9,K8,K10,K11,K12,K13,K14,K15,K16,K17,K23,K24,K25,K26,K27,K28,K29,K30,K32,K33,K34,K35)</f>
        <v>1037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 Zatarakoski</dc:creator>
  <cp:lastModifiedBy>Marko Zatarakoski</cp:lastModifiedBy>
  <dcterms:created xsi:type="dcterms:W3CDTF">2026-02-17T11:31:02Z</dcterms:created>
  <dcterms:modified xsi:type="dcterms:W3CDTF">2026-02-17T12:20:33Z</dcterms:modified>
</cp:coreProperties>
</file>